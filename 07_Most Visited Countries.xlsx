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Compressed\Datasets For Assignment #2 Porfolio Site-20260506\"/>
    </mc:Choice>
  </mc:AlternateContent>
  <bookViews>
    <workbookView xWindow="1572" yWindow="60" windowWidth="24996" windowHeight="15420"/>
  </bookViews>
  <sheets>
    <sheet name="most-visited-countries-2024" sheetId="1" r:id="rId1"/>
  </sheets>
  <calcPr calcId="162913"/>
</workbook>
</file>

<file path=xl/calcChain.xml><?xml version="1.0" encoding="utf-8"?>
<calcChain xmlns="http://schemas.openxmlformats.org/spreadsheetml/2006/main">
  <c r="I7" i="1" l="1"/>
  <c r="I6" i="1"/>
  <c r="I5" i="1"/>
  <c r="I4" i="1"/>
  <c r="I3" i="1"/>
</calcChain>
</file>

<file path=xl/sharedStrings.xml><?xml version="1.0" encoding="utf-8"?>
<sst xmlns="http://schemas.openxmlformats.org/spreadsheetml/2006/main" count="216" uniqueCount="216">
  <si>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</si>
  <si>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</si>
  <si>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</si>
  <si>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</si>
  <si>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</si>
  <si>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</si>
  <si>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</si>
  <si>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</si>
  <si>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</si>
  <si>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</si>
  <si>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</si>
  <si>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</si>
  <si>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</si>
  <si>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</si>
  <si>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</si>
  <si>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</si>
  <si>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</si>
  <si>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</si>
  <si>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</si>
  <si>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</si>
  <si>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</si>
  <si>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</si>
  <si>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</si>
  <si>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</si>
  <si>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</si>
  <si>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</si>
  <si>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</si>
  <si>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</si>
  <si>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</si>
  <si>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</si>
  <si>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</si>
  <si>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</si>
  <si>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</si>
  <si>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</si>
  <si>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</si>
  <si>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</si>
  <si>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</si>
  <si>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</si>
  <si>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</si>
  <si>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</si>
  <si>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</si>
  <si>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Yemen</t>
  </si>
  <si>
    <t>Canada</t>
  </si>
  <si>
    <t>Poland</t>
  </si>
  <si>
    <t>Morocco</t>
  </si>
  <si>
    <t>Angola</t>
  </si>
  <si>
    <t>Ukraine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</si>
  <si>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</si>
  <si>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</si>
  <si>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</si>
  <si>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</si>
  <si>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</si>
  <si>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</si>
  <si>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</si>
  <si>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</si>
  <si>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Nepal</t>
  </si>
  <si>
    <t>Cameroon</t>
  </si>
  <si>
    <t>Venezuela</t>
  </si>
  <si>
    <t>Niger</t>
  </si>
  <si>
    <t>Australia</t>
  </si>
  <si>
    <t>Syria</t>
  </si>
  <si>
    <t>Mali</t>
  </si>
  <si>
    <t>Burkina Faso</t>
  </si>
  <si>
    <t>Taiwan</t>
  </si>
  <si>
    <t>Sri Lanka</t>
  </si>
  <si>
    <t>Malawi</t>
  </si>
  <si>
    <t>Zambia</t>
  </si>
  <si>
    <t>Kazakhstan</t>
  </si>
  <si>
    <t>Chad</t>
  </si>
  <si>
    <t>Chile</t>
  </si>
  <si>
    <t>Romania</t>
  </si>
  <si>
    <t>Senegal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</si>
  <si>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</si>
  <si>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</si>
  <si>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</si>
  <si>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</si>
  <si>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</si>
  <si>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</si>
  <si>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</si>
  <si>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</si>
  <si>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</si>
  <si>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</si>
  <si>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</si>
  <si>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Haiti</t>
  </si>
  <si>
    <t>Belgium</t>
  </si>
  <si>
    <t>Jordan</t>
  </si>
  <si>
    <t>Dominican Republic</t>
  </si>
  <si>
    <t>United Arab Emirates</t>
  </si>
  <si>
    <t>Cuba</t>
  </si>
  <si>
    <t>Honduras</t>
  </si>
  <si>
    <t>Czech Republic</t>
  </si>
  <si>
    <t>Sweden</t>
  </si>
  <si>
    <t>Tajikistan</t>
  </si>
  <si>
    <t>Papua New Guinea</t>
  </si>
  <si>
    <t>Portugal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</si>
  <si>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</si>
  <si>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</si>
  <si>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</si>
  <si>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</si>
  <si>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</si>
  <si>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</si>
  <si>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</si>
  <si>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</si>
  <si>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</si>
  <si>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</si>
  <si>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Turkmenistan</t>
  </si>
  <si>
    <t>Hong Kong</t>
  </si>
  <si>
    <t>Libya</t>
  </si>
  <si>
    <t>Kyrgyzstan</t>
  </si>
  <si>
    <t>Paraguay</t>
  </si>
  <si>
    <t>Nicaragua</t>
  </si>
  <si>
    <t>Bulgaria</t>
  </si>
  <si>
    <t>Serbia</t>
  </si>
  <si>
    <t>El Salvador</t>
  </si>
  <si>
    <t>Republic of the Congo</t>
  </si>
  <si>
    <t>Denmark</t>
  </si>
  <si>
    <t>Singapore</t>
  </si>
  <si>
    <t>Lebanon</t>
  </si>
  <si>
    <t>Finland</t>
  </si>
  <si>
    <t>Norway</t>
  </si>
  <si>
    <t>Slovakia</t>
  </si>
  <si>
    <t>Central African Republic</t>
  </si>
  <si>
    <t>Oman</t>
  </si>
  <si>
    <t>Ireland</t>
  </si>
  <si>
    <t>New Zealand</t>
  </si>
  <si>
    <t>Mauritania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</si>
  <si>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</si>
  <si>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</si>
  <si>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</si>
  <si>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</si>
  <si>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</si>
  <si>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</si>
  <si>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</si>
  <si>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</si>
  <si>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</si>
  <si>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</si>
  <si>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</si>
  <si>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Moldova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</si>
  <si>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</si>
  <si>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</si>
  <si>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</si>
  <si>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</si>
  <si>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</si>
  <si>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</si>
  <si>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</si>
  <si>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</si>
  <si>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</si>
  <si>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</si>
  <si>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</si>
  <si>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</si>
  <si>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North Macedonia</t>
  </si>
  <si>
    <t>Bahrain</t>
  </si>
  <si>
    <t>Trinidad and Tobago</t>
  </si>
  <si>
    <t>Timor-Leste</t>
  </si>
  <si>
    <t>Estonia</t>
  </si>
  <si>
    <t>Cyprus</t>
  </si>
  <si>
    <t>Mauritius</t>
  </si>
  <si>
    <t>Eswatini</t>
  </si>
  <si>
    <t>Djibouti</t>
  </si>
  <si>
    <t>Fiji</t>
  </si>
  <si>
    <t>Comoros</t>
  </si>
  <si>
    <t>Guyana</t>
  </si>
  <si>
    <t>Solomon Islands</t>
  </si>
  <si>
    <t>Bhutan</t>
  </si>
  <si>
    <t>Macau</t>
  </si>
  <si>
    <t>Luxembourg</t>
  </si>
  <si>
    <t>Montenegro</t>
  </si>
  <si>
    <t>Suriname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</si>
  <si>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</si>
  <si>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</si>
  <si>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</si>
  <si>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</si>
  <si>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</si>
  <si>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</si>
  <si>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</si>
  <si>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</si>
  <si>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</si>
  <si>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</si>
  <si>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</si>
  <si>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</si>
  <si>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</si>
  <si>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</si>
  <si>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</si>
  <si>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</si>
  <si>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</si>
  <si>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</si>
  <si>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</si>
  <si>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</si>
  <si>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</si>
  <si>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</si>
  <si>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</si>
  <si>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</si>
  <si>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United States Virgin Islands</t>
  </si>
  <si>
    <t>Andorra</t>
  </si>
  <si>
    <t>Cayman Islands</t>
  </si>
  <si>
    <t>Dominica</t>
  </si>
  <si>
    <t>Bermuda</t>
  </si>
  <si>
    <t>Saint Kitts and Nevis</t>
  </si>
  <si>
    <t>American Samoa</t>
  </si>
  <si>
    <t>Turks and Caicos Islands</t>
  </si>
  <si>
    <t>Northern Mariana Islands</t>
  </si>
  <si>
    <t>Sint Maarten</t>
  </si>
  <si>
    <t>Liechtenstein</t>
  </si>
  <si>
    <t>British Virgin Islands</t>
  </si>
  <si>
    <t>Monaco</t>
  </si>
  <si>
    <t>Marshall Islands</t>
  </si>
  <si>
    <t>San Marino</t>
  </si>
  <si>
    <t>Palau</t>
  </si>
  <si>
    <t>Tuvalu</t>
  </si>
  <si>
    <t>Statistical Metric</t>
  </si>
  <si>
    <t>Value (Millions)</t>
  </si>
  <si>
    <t>Count</t>
  </si>
  <si>
    <t>Mean (Average)</t>
  </si>
  <si>
    <t>Median</t>
  </si>
  <si>
    <t>Maximum (Max)</t>
  </si>
  <si>
    <t>Minimum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</si>
</sst>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'most-visited-countries-2024'!$B$1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'most-visited-countries-2024'!$A$2:$A$11</c:f>
              <c:strCache>
                <c:ptCount val="10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China</c:v>
                </c:pt>
                <c:pt idx="4">
                  <c:v>Italy</c:v>
                </c:pt>
                <c:pt idx="5">
                  <c:v>Turkey</c:v>
                </c:pt>
                <c:pt idx="6">
                  <c:v>Mexico</c:v>
                </c:pt>
                <c:pt idx="7">
                  <c:v>Thailand</c:v>
                </c:pt>
                <c:pt idx="8">
                  <c:v>Germany</c:v>
                </c:pt>
                <c:pt idx="9">
                  <c:v>United Kingdom</c:v>
                </c:pt>
              </c:strCache>
            </c:strRef>
          </c:cat>
          <c:val>
            <c:numRef>
              <c:f>'most-visited-countries-2024'!$B$2:$B$11</c:f>
              <c:numCache>
                <c:formatCode>General</c:formatCode>
                <c:ptCount val="10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65.7</c:v>
                </c:pt>
                <c:pt idx="4">
                  <c:v>64.5</c:v>
                </c:pt>
                <c:pt idx="5">
                  <c:v>51.2</c:v>
                </c:pt>
                <c:pt idx="6">
                  <c:v>45</c:v>
                </c:pt>
                <c:pt idx="7">
                  <c:v>39.799999999999997</c:v>
                </c:pt>
                <c:pt idx="8">
                  <c:v>39.6</c:v>
                </c:pt>
                <c:pt idx="9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2-412A-803C-07692BA84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810512"/>
        <c:axId val="695815504"/>
      </c:barChart>
      <c:catAx>
        <c:axId val="6958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5504"/>
        <c:crosses val="autoZero"/>
        <c:auto val="1"/>
        <c:lblAlgn val="ctr"/>
        <c:lblOffset val="100"/>
        <c:noMultiLvlLbl val="0"/>
      </c:catAx>
      <c:valAx>
        <c:axId val="695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639695</xdr:colOff>
      <xdr:row>9</xdr:row>
      <xdr:rowOff>7044</xdr:rowOff>
    </xdr:from>
    <xdr:to>
      <xdr:col>11</xdr:col>
      <xdr:colOff>243327</xdr:colOff>
      <xdr:row>24</xdr:row>
      <xdr:rowOff>60833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"/>
  <sheetViews>
    <sheetView tabSelected="1" topLeftCell="B1" zoomScale="70" zoomScaleNormal="70" workbookViewId="0">
      <selection activeCell="I37" sqref="I37"/>
    </sheetView>
  </sheetViews>
  <sheetFormatPr defaultRowHeight="13.8"/>
  <cols>
    <col min="1" max="1" width="30.69921875" bestFit="1" customWidth="1"/>
    <col min="2" max="2" width="47.8984375" bestFit="1" customWidth="1"/>
    <col min="3" max="4" width="39" bestFit="1" customWidth="1"/>
    <col min="5" max="5" width="36.59765625" bestFit="1" customWidth="1"/>
    <col min="6" max="6" width="31.3984375" bestFit="1" customWidth="1"/>
    <col min="8" max="9" width="19.2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28</v>
      </c>
      <c r="B2">
        <v>89.4</v>
      </c>
      <c r="C2">
        <v>100</v>
      </c>
      <c r="D2">
        <v>79.400000000000006</v>
      </c>
      <c r="E2">
        <v>117109000</v>
      </c>
      <c r="F2">
        <v>2020</v>
      </c>
      <c r="H2" t="s">
        <v>209</v>
      </c>
      <c r="I2" t="s">
        <v>210</v>
      </c>
    </row>
    <row r="3" spans="1:9">
      <c r="A3" t="s">
        <v>37</v>
      </c>
      <c r="B3">
        <v>83.7</v>
      </c>
      <c r="C3">
        <v>85.17</v>
      </c>
      <c r="D3">
        <v>71.66</v>
      </c>
      <c r="E3">
        <v>36410000</v>
      </c>
      <c r="F3">
        <v>2020</v>
      </c>
      <c r="H3" t="s">
        <v>211</v>
      </c>
      <c r="I3">
        <f>COUNT(B2:B204)</f>
        <v>50</v>
      </c>
    </row>
    <row r="4" spans="1:9">
      <c r="A4" t="s">
        <v>8</v>
      </c>
      <c r="B4">
        <v>79.3</v>
      </c>
      <c r="C4">
        <v>66.48</v>
      </c>
      <c r="D4">
        <v>50.87</v>
      </c>
      <c r="E4">
        <v>45037000</v>
      </c>
      <c r="F4">
        <v>2020</v>
      </c>
      <c r="H4" t="s">
        <v>212</v>
      </c>
      <c r="I4">
        <f>AVERAGE(B2:B204)</f>
        <v>24.102000000000007</v>
      </c>
    </row>
    <row r="5" spans="1:9">
      <c r="A5" t="s">
        <v>7</v>
      </c>
      <c r="B5">
        <v>65.7</v>
      </c>
      <c r="E5">
        <v>30402000</v>
      </c>
      <c r="F5">
        <v>2020</v>
      </c>
      <c r="H5" t="s">
        <v>213</v>
      </c>
      <c r="I5">
        <f>MEDIAN(B2:B204)</f>
        <v>16.799999999999997</v>
      </c>
    </row>
    <row r="6" spans="1:9">
      <c r="A6" t="s">
        <v>30</v>
      </c>
      <c r="B6">
        <v>64.5</v>
      </c>
      <c r="C6">
        <v>57.25</v>
      </c>
      <c r="D6">
        <v>49.81</v>
      </c>
      <c r="E6">
        <v>38419000</v>
      </c>
      <c r="F6">
        <v>2020</v>
      </c>
      <c r="H6" t="s">
        <v>214</v>
      </c>
      <c r="I6">
        <f>MAX(B2:B204)</f>
        <v>89.4</v>
      </c>
    </row>
    <row r="7" spans="1:9">
      <c r="A7" t="s">
        <v>23</v>
      </c>
      <c r="B7">
        <v>51.2</v>
      </c>
      <c r="D7">
        <v>50.45</v>
      </c>
      <c r="E7">
        <v>15971000</v>
      </c>
      <c r="F7">
        <v>2020</v>
      </c>
      <c r="H7" t="s">
        <v>215</v>
      </c>
      <c r="I7">
        <f>MIN(B2:B204)</f>
        <v>5.9</v>
      </c>
    </row>
    <row r="8" spans="1:9">
      <c r="A8" t="s">
        <v>16</v>
      </c>
      <c r="B8">
        <v>45</v>
      </c>
      <c r="C8">
        <v>42.15</v>
      </c>
      <c r="D8">
        <v>38.33</v>
      </c>
      <c r="E8">
        <v>51128000</v>
      </c>
      <c r="F8">
        <v>2020</v>
      </c>
    </row>
    <row r="9" spans="1:9">
      <c r="A9" t="s">
        <v>25</v>
      </c>
      <c r="B9">
        <v>39.799999999999997</v>
      </c>
      <c r="C9">
        <v>28.15</v>
      </c>
      <c r="E9">
        <v>39916000</v>
      </c>
      <c r="F9">
        <v>2019</v>
      </c>
    </row>
    <row r="10" spans="1:9">
      <c r="A10" t="s">
        <v>24</v>
      </c>
      <c r="B10">
        <v>39.6</v>
      </c>
      <c r="C10">
        <v>34.799999999999997</v>
      </c>
      <c r="D10">
        <v>28.46</v>
      </c>
      <c r="E10">
        <v>12449000</v>
      </c>
      <c r="F10">
        <v>2020</v>
      </c>
    </row>
    <row r="11" spans="1:9">
      <c r="A11" t="s">
        <v>26</v>
      </c>
      <c r="B11">
        <v>39.4</v>
      </c>
      <c r="C11">
        <v>37.22</v>
      </c>
      <c r="D11">
        <v>30.74</v>
      </c>
      <c r="E11">
        <v>11101000</v>
      </c>
      <c r="F11">
        <v>2020</v>
      </c>
    </row>
    <row r="12" spans="1:9">
      <c r="A12" t="s">
        <v>17</v>
      </c>
      <c r="B12">
        <v>32.299999999999997</v>
      </c>
      <c r="C12">
        <v>25.07</v>
      </c>
      <c r="E12">
        <v>4115800</v>
      </c>
      <c r="F12">
        <v>2020</v>
      </c>
    </row>
    <row r="13" spans="1:9">
      <c r="A13" t="s">
        <v>100</v>
      </c>
      <c r="B13">
        <v>31.9</v>
      </c>
      <c r="C13">
        <v>30.91</v>
      </c>
      <c r="D13">
        <v>26.21</v>
      </c>
      <c r="E13">
        <v>15091000</v>
      </c>
      <c r="F13">
        <v>2020</v>
      </c>
    </row>
    <row r="14" spans="1:9">
      <c r="A14" t="s">
        <v>96</v>
      </c>
      <c r="B14">
        <v>31.3</v>
      </c>
      <c r="C14">
        <v>32.74</v>
      </c>
      <c r="D14">
        <v>27.84</v>
      </c>
      <c r="E14">
        <v>7406000</v>
      </c>
      <c r="F14">
        <v>2020</v>
      </c>
    </row>
    <row r="15" spans="1:9">
      <c r="A15" t="s">
        <v>48</v>
      </c>
      <c r="B15">
        <v>26.1</v>
      </c>
      <c r="C15">
        <v>20.14</v>
      </c>
      <c r="E15">
        <v>4333000</v>
      </c>
      <c r="F15">
        <v>2020</v>
      </c>
    </row>
    <row r="16" spans="1:9">
      <c r="A16" t="s">
        <v>94</v>
      </c>
      <c r="B16">
        <v>24.6</v>
      </c>
      <c r="C16">
        <v>26.54</v>
      </c>
      <c r="D16">
        <v>22.25</v>
      </c>
      <c r="E16">
        <v>4208000</v>
      </c>
      <c r="F16">
        <v>2020</v>
      </c>
    </row>
    <row r="17" spans="1:6">
      <c r="A17" t="s">
        <v>14</v>
      </c>
      <c r="B17">
        <v>24.4</v>
      </c>
      <c r="E17">
        <v>6359000</v>
      </c>
      <c r="F17">
        <v>2020</v>
      </c>
    </row>
    <row r="18" spans="1:6">
      <c r="A18" t="s">
        <v>106</v>
      </c>
      <c r="B18">
        <v>23.8</v>
      </c>
      <c r="C18">
        <v>17.16</v>
      </c>
      <c r="E18">
        <v>3569000</v>
      </c>
      <c r="F18">
        <v>2020</v>
      </c>
    </row>
    <row r="19" spans="1:6">
      <c r="A19" t="s">
        <v>42</v>
      </c>
      <c r="B19">
        <v>22.1</v>
      </c>
      <c r="C19">
        <v>18.34</v>
      </c>
      <c r="D19">
        <v>12.82</v>
      </c>
      <c r="E19">
        <v>32430000</v>
      </c>
      <c r="F19">
        <v>2019</v>
      </c>
    </row>
    <row r="20" spans="1:6">
      <c r="A20" t="s">
        <v>43</v>
      </c>
      <c r="B20">
        <v>22.1</v>
      </c>
      <c r="C20">
        <v>18.989999999999998</v>
      </c>
      <c r="D20">
        <v>15.95</v>
      </c>
      <c r="E20">
        <v>88515000</v>
      </c>
      <c r="F20">
        <v>2019</v>
      </c>
    </row>
    <row r="21" spans="1:6">
      <c r="A21" t="s">
        <v>73</v>
      </c>
      <c r="B21">
        <v>20.100000000000001</v>
      </c>
      <c r="C21">
        <v>20.3</v>
      </c>
      <c r="D21">
        <v>16.07</v>
      </c>
      <c r="E21">
        <v>7265000</v>
      </c>
      <c r="F21">
        <v>2020</v>
      </c>
    </row>
    <row r="22" spans="1:6">
      <c r="A22" t="s">
        <v>21</v>
      </c>
      <c r="B22">
        <v>18</v>
      </c>
      <c r="C22">
        <v>12.6</v>
      </c>
      <c r="E22">
        <v>3837000</v>
      </c>
      <c r="F22">
        <v>2020</v>
      </c>
    </row>
    <row r="23" spans="1:6">
      <c r="A23" t="s">
        <v>6</v>
      </c>
      <c r="B23">
        <v>17.899999999999999</v>
      </c>
      <c r="E23">
        <v>17914000</v>
      </c>
      <c r="F23">
        <v>2019</v>
      </c>
    </row>
    <row r="24" spans="1:6">
      <c r="A24" t="s">
        <v>34</v>
      </c>
      <c r="B24">
        <v>17.5</v>
      </c>
      <c r="C24">
        <v>11.03</v>
      </c>
      <c r="E24">
        <v>2519000</v>
      </c>
      <c r="F24">
        <v>2020</v>
      </c>
    </row>
    <row r="25" spans="1:6">
      <c r="A25" t="s">
        <v>129</v>
      </c>
      <c r="B25">
        <v>17.399999999999999</v>
      </c>
      <c r="D25">
        <v>15.32</v>
      </c>
      <c r="E25">
        <v>21608000</v>
      </c>
      <c r="F25">
        <v>2020</v>
      </c>
    </row>
    <row r="26" spans="1:6">
      <c r="A26" t="s">
        <v>97</v>
      </c>
      <c r="B26">
        <v>16.899999999999999</v>
      </c>
      <c r="C26">
        <v>12.93</v>
      </c>
      <c r="D26">
        <v>12.65</v>
      </c>
      <c r="E26">
        <v>31641000</v>
      </c>
      <c r="F26">
        <v>2020</v>
      </c>
    </row>
    <row r="27" spans="1:6">
      <c r="A27" t="s">
        <v>87</v>
      </c>
      <c r="B27">
        <v>16.7</v>
      </c>
      <c r="C27">
        <v>28.15</v>
      </c>
      <c r="D27">
        <v>22.65</v>
      </c>
      <c r="E27">
        <v>8084000</v>
      </c>
      <c r="F27">
        <v>2020</v>
      </c>
    </row>
    <row r="28" spans="1:6">
      <c r="A28" t="s">
        <v>9</v>
      </c>
      <c r="B28">
        <v>15.5</v>
      </c>
      <c r="E28">
        <v>4053000</v>
      </c>
      <c r="F28">
        <v>2020</v>
      </c>
    </row>
    <row r="29" spans="1:6">
      <c r="A29" t="s">
        <v>116</v>
      </c>
      <c r="B29">
        <v>15.1</v>
      </c>
      <c r="E29">
        <v>2742000</v>
      </c>
      <c r="F29">
        <v>2020</v>
      </c>
    </row>
    <row r="30" spans="1:6">
      <c r="A30" t="s">
        <v>90</v>
      </c>
      <c r="B30">
        <v>14.3</v>
      </c>
      <c r="E30">
        <v>37202000</v>
      </c>
      <c r="F30">
        <v>2019</v>
      </c>
    </row>
    <row r="31" spans="1:6">
      <c r="A31" t="s">
        <v>52</v>
      </c>
      <c r="B31">
        <v>13.6</v>
      </c>
      <c r="C31">
        <v>27.42</v>
      </c>
      <c r="D31">
        <v>16.649999999999999</v>
      </c>
      <c r="E31">
        <v>20292000</v>
      </c>
      <c r="F31">
        <v>2019</v>
      </c>
    </row>
    <row r="32" spans="1:6">
      <c r="A32" t="s">
        <v>115</v>
      </c>
      <c r="B32">
        <v>13.3</v>
      </c>
      <c r="E32">
        <v>15595000</v>
      </c>
      <c r="F32">
        <v>2020</v>
      </c>
    </row>
    <row r="33" spans="1:6">
      <c r="A33" t="s">
        <v>44</v>
      </c>
      <c r="B33">
        <v>12.9</v>
      </c>
      <c r="C33">
        <v>14.52</v>
      </c>
      <c r="E33">
        <v>2802000</v>
      </c>
      <c r="F33">
        <v>2020</v>
      </c>
    </row>
    <row r="34" spans="1:6">
      <c r="A34" t="s">
        <v>63</v>
      </c>
      <c r="B34">
        <v>11.9</v>
      </c>
      <c r="C34">
        <v>6.49</v>
      </c>
    </row>
    <row r="35" spans="1:6">
      <c r="A35" t="s">
        <v>102</v>
      </c>
      <c r="B35">
        <v>11.8</v>
      </c>
      <c r="E35">
        <v>11818000</v>
      </c>
      <c r="F35">
        <v>2019</v>
      </c>
    </row>
    <row r="36" spans="1:6">
      <c r="A36" t="s">
        <v>18</v>
      </c>
      <c r="B36">
        <v>11.3</v>
      </c>
      <c r="C36">
        <v>14.91</v>
      </c>
      <c r="D36">
        <v>11.66</v>
      </c>
      <c r="E36">
        <v>13026000</v>
      </c>
      <c r="F36">
        <v>2019</v>
      </c>
    </row>
    <row r="37" spans="1:6">
      <c r="A37" t="s">
        <v>123</v>
      </c>
      <c r="B37">
        <v>10.9</v>
      </c>
      <c r="C37">
        <v>6.3</v>
      </c>
      <c r="E37">
        <v>10951000</v>
      </c>
      <c r="F37">
        <v>2019</v>
      </c>
    </row>
    <row r="38" spans="1:6">
      <c r="A38" t="s">
        <v>29</v>
      </c>
      <c r="B38">
        <v>10.199999999999999</v>
      </c>
      <c r="C38">
        <v>8.48</v>
      </c>
      <c r="E38">
        <v>3886600</v>
      </c>
      <c r="F38">
        <v>2020</v>
      </c>
    </row>
    <row r="39" spans="1:6">
      <c r="A39" t="s">
        <v>142</v>
      </c>
      <c r="B39">
        <v>9.6</v>
      </c>
      <c r="C39">
        <v>9.67</v>
      </c>
      <c r="E39">
        <v>2658000</v>
      </c>
      <c r="F39">
        <v>2020</v>
      </c>
    </row>
    <row r="40" spans="1:6">
      <c r="A40" t="s">
        <v>59</v>
      </c>
      <c r="B40">
        <v>9.5</v>
      </c>
      <c r="C40">
        <v>7.19</v>
      </c>
      <c r="E40">
        <v>1828000</v>
      </c>
      <c r="F40">
        <v>2020</v>
      </c>
    </row>
    <row r="41" spans="1:6">
      <c r="A41" t="s">
        <v>82</v>
      </c>
      <c r="B41">
        <v>9.4</v>
      </c>
      <c r="C41">
        <v>9.3699999999999992</v>
      </c>
      <c r="E41">
        <v>2012000</v>
      </c>
      <c r="F41">
        <v>2020</v>
      </c>
    </row>
    <row r="42" spans="1:6">
      <c r="A42" t="s">
        <v>84</v>
      </c>
      <c r="B42">
        <v>9.3000000000000007</v>
      </c>
      <c r="E42">
        <v>2584000</v>
      </c>
      <c r="F42">
        <v>2020</v>
      </c>
    </row>
    <row r="43" spans="1:6">
      <c r="A43" t="s">
        <v>111</v>
      </c>
      <c r="B43">
        <v>9.3000000000000007</v>
      </c>
      <c r="E43">
        <v>4973000</v>
      </c>
      <c r="F43">
        <v>2020</v>
      </c>
    </row>
    <row r="44" spans="1:6">
      <c r="A44" t="s">
        <v>19</v>
      </c>
      <c r="B44">
        <v>8.3000000000000007</v>
      </c>
      <c r="C44">
        <v>5</v>
      </c>
      <c r="E44">
        <v>1483000</v>
      </c>
      <c r="F44">
        <v>2020</v>
      </c>
    </row>
    <row r="45" spans="1:6">
      <c r="A45" t="s">
        <v>40</v>
      </c>
      <c r="B45">
        <v>7.4</v>
      </c>
      <c r="C45">
        <v>7.29</v>
      </c>
      <c r="E45">
        <v>7339000</v>
      </c>
      <c r="F45">
        <v>2019</v>
      </c>
    </row>
    <row r="46" spans="1:6">
      <c r="A46" t="s">
        <v>91</v>
      </c>
      <c r="B46">
        <v>7.4</v>
      </c>
      <c r="C46">
        <v>7.53</v>
      </c>
      <c r="E46">
        <v>1957000</v>
      </c>
      <c r="F46">
        <v>2020</v>
      </c>
    </row>
    <row r="47" spans="1:6">
      <c r="A47" t="s">
        <v>22</v>
      </c>
      <c r="B47">
        <v>7.3</v>
      </c>
      <c r="C47">
        <v>5.87</v>
      </c>
      <c r="E47">
        <v>1550000</v>
      </c>
      <c r="F47">
        <v>2020</v>
      </c>
    </row>
    <row r="48" spans="1:6">
      <c r="A48" t="s">
        <v>108</v>
      </c>
      <c r="B48">
        <v>6.9</v>
      </c>
      <c r="E48">
        <v>8508000</v>
      </c>
      <c r="F48">
        <v>2019</v>
      </c>
    </row>
    <row r="49" spans="1:6">
      <c r="A49" t="s">
        <v>47</v>
      </c>
      <c r="B49">
        <v>6.7</v>
      </c>
      <c r="C49">
        <v>6.63</v>
      </c>
      <c r="E49">
        <v>6749000</v>
      </c>
      <c r="F49">
        <v>2019</v>
      </c>
    </row>
    <row r="50" spans="1:6">
      <c r="A50" t="s">
        <v>75</v>
      </c>
      <c r="B50">
        <v>6.6</v>
      </c>
      <c r="C50">
        <v>5.45</v>
      </c>
      <c r="E50">
        <v>1306000</v>
      </c>
      <c r="F50">
        <v>2020</v>
      </c>
    </row>
    <row r="51" spans="1:6">
      <c r="A51" t="s">
        <v>12</v>
      </c>
      <c r="B51">
        <v>5.9</v>
      </c>
      <c r="C51">
        <v>5.91</v>
      </c>
      <c r="E51">
        <v>6353000</v>
      </c>
      <c r="F51">
        <v>2019</v>
      </c>
    </row>
    <row r="52" spans="1:6">
      <c r="A52" t="s">
        <v>10</v>
      </c>
      <c r="E52">
        <v>966000</v>
      </c>
      <c r="F52">
        <v>2012</v>
      </c>
    </row>
    <row r="53" spans="1:6">
      <c r="A53" t="s">
        <v>11</v>
      </c>
      <c r="E53">
        <v>5265000</v>
      </c>
      <c r="F53">
        <v>2016</v>
      </c>
    </row>
    <row r="54" spans="1:6">
      <c r="A54" t="s">
        <v>13</v>
      </c>
      <c r="E54">
        <v>323000</v>
      </c>
      <c r="F54">
        <v>2019</v>
      </c>
    </row>
    <row r="55" spans="1:6">
      <c r="A55" t="s">
        <v>15</v>
      </c>
      <c r="E55">
        <v>518000</v>
      </c>
      <c r="F55">
        <v>2020</v>
      </c>
    </row>
    <row r="56" spans="1:6">
      <c r="A56" t="s">
        <v>20</v>
      </c>
      <c r="E56">
        <v>351000</v>
      </c>
      <c r="F56">
        <v>2016</v>
      </c>
    </row>
    <row r="57" spans="1:6">
      <c r="A57" t="s">
        <v>27</v>
      </c>
      <c r="E57">
        <v>1527000</v>
      </c>
      <c r="F57">
        <v>2019</v>
      </c>
    </row>
    <row r="58" spans="1:6">
      <c r="A58" t="s">
        <v>31</v>
      </c>
      <c r="E58">
        <v>2049000</v>
      </c>
      <c r="F58">
        <v>2019</v>
      </c>
    </row>
    <row r="59" spans="1:6">
      <c r="A59" t="s">
        <v>32</v>
      </c>
      <c r="E59">
        <v>903000</v>
      </c>
      <c r="F59">
        <v>2020</v>
      </c>
    </row>
    <row r="60" spans="1:6">
      <c r="A60" t="s">
        <v>33</v>
      </c>
      <c r="C60">
        <v>5.63</v>
      </c>
      <c r="E60">
        <v>1396000</v>
      </c>
      <c r="F60">
        <v>2020</v>
      </c>
    </row>
    <row r="61" spans="1:6">
      <c r="A61" t="s">
        <v>35</v>
      </c>
      <c r="E61">
        <v>836000</v>
      </c>
      <c r="F61">
        <v>2018</v>
      </c>
    </row>
    <row r="62" spans="1:6">
      <c r="A62" t="s">
        <v>36</v>
      </c>
      <c r="E62">
        <v>473000</v>
      </c>
      <c r="F62">
        <v>2020</v>
      </c>
    </row>
    <row r="63" spans="1:6">
      <c r="A63" t="s">
        <v>38</v>
      </c>
      <c r="E63">
        <v>591000</v>
      </c>
      <c r="F63">
        <v>2020</v>
      </c>
    </row>
    <row r="64" spans="1:6">
      <c r="A64" t="s">
        <v>39</v>
      </c>
      <c r="E64">
        <v>892000</v>
      </c>
      <c r="F64">
        <v>2013</v>
      </c>
    </row>
    <row r="65" spans="1:6">
      <c r="A65" t="s">
        <v>41</v>
      </c>
      <c r="E65">
        <v>398000</v>
      </c>
      <c r="F65">
        <v>2015</v>
      </c>
    </row>
    <row r="66" spans="1:6">
      <c r="A66" t="s">
        <v>45</v>
      </c>
      <c r="E66">
        <v>218000</v>
      </c>
      <c r="F66">
        <v>2019</v>
      </c>
    </row>
    <row r="67" spans="1:6">
      <c r="A67" t="s">
        <v>46</v>
      </c>
      <c r="E67">
        <v>3382000</v>
      </c>
      <c r="F67">
        <v>2020</v>
      </c>
    </row>
    <row r="68" spans="1:6">
      <c r="A68" t="s">
        <v>49</v>
      </c>
      <c r="E68">
        <v>2033000</v>
      </c>
      <c r="F68">
        <v>2019</v>
      </c>
    </row>
    <row r="69" spans="1:6">
      <c r="A69" t="s">
        <v>50</v>
      </c>
      <c r="E69">
        <v>897000</v>
      </c>
      <c r="F69">
        <v>2015</v>
      </c>
    </row>
    <row r="70" spans="1:6">
      <c r="A70" t="s">
        <v>51</v>
      </c>
      <c r="E70">
        <v>1119000</v>
      </c>
      <c r="F70">
        <v>2020</v>
      </c>
    </row>
    <row r="71" spans="1:6">
      <c r="A71" t="s">
        <v>53</v>
      </c>
      <c r="E71">
        <v>87100</v>
      </c>
      <c r="F71">
        <v>2020</v>
      </c>
    </row>
    <row r="72" spans="1:6">
      <c r="A72" t="s">
        <v>54</v>
      </c>
      <c r="E72">
        <v>668000</v>
      </c>
      <c r="F72">
        <v>2020</v>
      </c>
    </row>
    <row r="73" spans="1:6">
      <c r="A73" t="s">
        <v>55</v>
      </c>
      <c r="E73">
        <v>230000</v>
      </c>
      <c r="F73">
        <v>2020</v>
      </c>
    </row>
    <row r="74" spans="1:6">
      <c r="A74" t="s">
        <v>56</v>
      </c>
      <c r="E74">
        <v>1021000</v>
      </c>
      <c r="F74">
        <v>2019</v>
      </c>
    </row>
    <row r="75" spans="1:6">
      <c r="A75" t="s">
        <v>57</v>
      </c>
      <c r="E75">
        <v>429000</v>
      </c>
      <c r="F75">
        <v>2017</v>
      </c>
    </row>
    <row r="76" spans="1:6">
      <c r="A76" t="s">
        <v>58</v>
      </c>
      <c r="E76">
        <v>85000</v>
      </c>
      <c r="F76">
        <v>2020</v>
      </c>
    </row>
    <row r="77" spans="1:6">
      <c r="A77" t="s">
        <v>60</v>
      </c>
      <c r="E77">
        <v>2424000</v>
      </c>
      <c r="F77">
        <v>2019</v>
      </c>
    </row>
    <row r="78" spans="1:6">
      <c r="A78" t="s">
        <v>61</v>
      </c>
      <c r="E78">
        <v>217000</v>
      </c>
      <c r="F78">
        <v>2019</v>
      </c>
    </row>
    <row r="79" spans="1:6">
      <c r="A79" t="s">
        <v>62</v>
      </c>
      <c r="E79">
        <v>67000</v>
      </c>
      <c r="F79">
        <v>2020</v>
      </c>
    </row>
    <row r="80" spans="1:6">
      <c r="A80" t="s">
        <v>64</v>
      </c>
      <c r="E80">
        <v>540000</v>
      </c>
      <c r="F80">
        <v>2020</v>
      </c>
    </row>
    <row r="81" spans="1:6">
      <c r="A81" t="s">
        <v>65</v>
      </c>
      <c r="E81">
        <v>871000</v>
      </c>
      <c r="F81">
        <v>2018</v>
      </c>
    </row>
    <row r="82" spans="1:6">
      <c r="A82" t="s">
        <v>66</v>
      </c>
      <c r="E82">
        <v>502000</v>
      </c>
      <c r="F82">
        <v>2020</v>
      </c>
    </row>
    <row r="83" spans="1:6">
      <c r="A83" t="s">
        <v>67</v>
      </c>
      <c r="E83">
        <v>2035000</v>
      </c>
      <c r="F83">
        <v>2020</v>
      </c>
    </row>
    <row r="84" spans="1:6">
      <c r="A84" t="s">
        <v>68</v>
      </c>
      <c r="E84">
        <v>10400</v>
      </c>
      <c r="F84">
        <v>2020</v>
      </c>
    </row>
    <row r="85" spans="1:6">
      <c r="A85" t="s">
        <v>69</v>
      </c>
      <c r="C85">
        <v>3.73</v>
      </c>
      <c r="E85">
        <v>5431000</v>
      </c>
      <c r="F85">
        <v>2019</v>
      </c>
    </row>
    <row r="86" spans="1:6">
      <c r="A86" t="s">
        <v>70</v>
      </c>
      <c r="D86">
        <v>12.7</v>
      </c>
      <c r="E86">
        <v>5023000</v>
      </c>
      <c r="F86">
        <v>2020</v>
      </c>
    </row>
    <row r="87" spans="1:6">
      <c r="A87" t="s">
        <v>71</v>
      </c>
      <c r="E87">
        <v>1376000</v>
      </c>
      <c r="F87">
        <v>2017</v>
      </c>
    </row>
    <row r="88" spans="1:6">
      <c r="A88" t="s">
        <v>72</v>
      </c>
      <c r="E88">
        <v>594000</v>
      </c>
      <c r="F88">
        <v>2020</v>
      </c>
    </row>
    <row r="89" spans="1:6">
      <c r="A89" t="s">
        <v>74</v>
      </c>
      <c r="E89">
        <v>2108000</v>
      </c>
      <c r="F89">
        <v>2019</v>
      </c>
    </row>
    <row r="90" spans="1:6">
      <c r="A90" t="s">
        <v>76</v>
      </c>
      <c r="E90">
        <v>639000</v>
      </c>
      <c r="F90">
        <v>2020</v>
      </c>
    </row>
    <row r="91" spans="1:6">
      <c r="A91" t="s">
        <v>77</v>
      </c>
      <c r="E91">
        <v>99000</v>
      </c>
      <c r="F91">
        <v>2017</v>
      </c>
    </row>
    <row r="92" spans="1:6">
      <c r="A92" t="s">
        <v>78</v>
      </c>
      <c r="E92">
        <v>337000</v>
      </c>
      <c r="F92">
        <v>2019</v>
      </c>
    </row>
    <row r="93" spans="1:6">
      <c r="A93" t="s">
        <v>79</v>
      </c>
      <c r="E93">
        <v>1634000</v>
      </c>
      <c r="F93">
        <v>2019</v>
      </c>
    </row>
    <row r="94" spans="1:6">
      <c r="A94" t="s">
        <v>80</v>
      </c>
      <c r="E94">
        <v>299000</v>
      </c>
      <c r="F94">
        <v>2017</v>
      </c>
    </row>
    <row r="95" spans="1:6">
      <c r="A95" t="s">
        <v>81</v>
      </c>
      <c r="E95">
        <v>323300</v>
      </c>
      <c r="F95">
        <v>2020</v>
      </c>
    </row>
    <row r="96" spans="1:6">
      <c r="A96" t="s">
        <v>83</v>
      </c>
      <c r="E96">
        <v>938000</v>
      </c>
      <c r="F96">
        <v>2019</v>
      </c>
    </row>
    <row r="97" spans="1:6">
      <c r="A97" t="s">
        <v>85</v>
      </c>
      <c r="C97">
        <v>5.35</v>
      </c>
      <c r="E97">
        <v>1240000</v>
      </c>
      <c r="F97">
        <v>2020</v>
      </c>
    </row>
    <row r="98" spans="1:6">
      <c r="A98" t="s">
        <v>86</v>
      </c>
      <c r="C98">
        <v>8.06</v>
      </c>
      <c r="E98">
        <v>2748000</v>
      </c>
      <c r="F98">
        <v>2020</v>
      </c>
    </row>
    <row r="99" spans="1:6">
      <c r="A99" t="s">
        <v>88</v>
      </c>
      <c r="E99">
        <v>1086000</v>
      </c>
      <c r="F99">
        <v>2020</v>
      </c>
    </row>
    <row r="100" spans="1:6">
      <c r="A100" t="s">
        <v>89</v>
      </c>
      <c r="E100">
        <v>669000</v>
      </c>
      <c r="F100">
        <v>2020</v>
      </c>
    </row>
    <row r="101" spans="1:6">
      <c r="A101" t="s">
        <v>92</v>
      </c>
      <c r="E101">
        <v>1035000</v>
      </c>
      <c r="F101">
        <v>2018</v>
      </c>
    </row>
    <row r="102" spans="1:6">
      <c r="A102" t="s">
        <v>93</v>
      </c>
      <c r="E102">
        <v>39000</v>
      </c>
      <c r="F102">
        <v>2020</v>
      </c>
    </row>
    <row r="103" spans="1:6">
      <c r="A103" t="s">
        <v>95</v>
      </c>
      <c r="E103">
        <v>796000</v>
      </c>
      <c r="F103">
        <v>2020</v>
      </c>
    </row>
    <row r="104" spans="1:6">
      <c r="A104" t="s">
        <v>98</v>
      </c>
      <c r="E104">
        <v>482000</v>
      </c>
      <c r="F104">
        <v>2020</v>
      </c>
    </row>
    <row r="105" spans="1:6">
      <c r="A105" t="s">
        <v>99</v>
      </c>
      <c r="E105">
        <v>4905000</v>
      </c>
      <c r="F105">
        <v>2019</v>
      </c>
    </row>
    <row r="106" spans="1:6">
      <c r="A106" t="s">
        <v>101</v>
      </c>
      <c r="E106">
        <v>3598000</v>
      </c>
      <c r="F106">
        <v>2020</v>
      </c>
    </row>
    <row r="107" spans="1:6">
      <c r="A107" t="s">
        <v>103</v>
      </c>
      <c r="E107">
        <v>71000</v>
      </c>
      <c r="F107">
        <v>2019</v>
      </c>
    </row>
    <row r="108" spans="1:6">
      <c r="A108" t="s">
        <v>104</v>
      </c>
      <c r="E108">
        <v>886400</v>
      </c>
      <c r="F108">
        <v>2020</v>
      </c>
    </row>
    <row r="109" spans="1:6">
      <c r="A109" t="s">
        <v>105</v>
      </c>
      <c r="E109">
        <v>380000</v>
      </c>
      <c r="F109">
        <v>1998</v>
      </c>
    </row>
    <row r="110" spans="1:6">
      <c r="A110" t="s">
        <v>107</v>
      </c>
      <c r="E110">
        <v>760000</v>
      </c>
      <c r="F110">
        <v>2008</v>
      </c>
    </row>
    <row r="111" spans="1:6">
      <c r="A111" t="s">
        <v>109</v>
      </c>
      <c r="E111">
        <v>1077000</v>
      </c>
      <c r="F111">
        <v>2020</v>
      </c>
    </row>
    <row r="112" spans="1:6">
      <c r="A112" t="s">
        <v>110</v>
      </c>
      <c r="E112">
        <v>474000</v>
      </c>
      <c r="F112">
        <v>2020</v>
      </c>
    </row>
    <row r="113" spans="1:6">
      <c r="A113" t="s">
        <v>112</v>
      </c>
      <c r="E113">
        <v>446000</v>
      </c>
      <c r="F113">
        <v>2020</v>
      </c>
    </row>
    <row r="114" spans="1:6">
      <c r="A114" t="s">
        <v>113</v>
      </c>
      <c r="E114">
        <v>707000</v>
      </c>
      <c r="F114">
        <v>2020</v>
      </c>
    </row>
    <row r="115" spans="1:6">
      <c r="A115" t="s">
        <v>114</v>
      </c>
      <c r="E115">
        <v>158000</v>
      </c>
      <c r="F115">
        <v>2018</v>
      </c>
    </row>
    <row r="116" spans="1:6">
      <c r="A116" t="s">
        <v>117</v>
      </c>
      <c r="E116">
        <v>1936000</v>
      </c>
      <c r="F116">
        <v>2019</v>
      </c>
    </row>
    <row r="117" spans="1:6">
      <c r="A117" t="s">
        <v>118</v>
      </c>
      <c r="E117">
        <v>896000</v>
      </c>
      <c r="F117">
        <v>2020</v>
      </c>
    </row>
    <row r="118" spans="1:6">
      <c r="A118" t="s">
        <v>119</v>
      </c>
      <c r="E118">
        <v>1397000</v>
      </c>
      <c r="F118">
        <v>2020</v>
      </c>
    </row>
    <row r="119" spans="1:6">
      <c r="A119" t="s">
        <v>120</v>
      </c>
      <c r="E119">
        <v>15299000</v>
      </c>
      <c r="F119">
        <v>2018</v>
      </c>
    </row>
    <row r="120" spans="1:6">
      <c r="A120" t="s">
        <v>121</v>
      </c>
      <c r="E120">
        <v>87000</v>
      </c>
      <c r="F120">
        <v>2019</v>
      </c>
    </row>
    <row r="121" spans="1:6">
      <c r="A121" t="s">
        <v>122</v>
      </c>
      <c r="E121">
        <v>869000</v>
      </c>
      <c r="F121">
        <v>2020</v>
      </c>
    </row>
    <row r="122" spans="1:6">
      <c r="A122" t="s">
        <v>124</v>
      </c>
      <c r="E122">
        <v>996000</v>
      </c>
      <c r="F122">
        <v>2020</v>
      </c>
    </row>
    <row r="123" spans="1:6">
      <c r="A123" t="s">
        <v>125</v>
      </c>
      <c r="E123">
        <v>30000</v>
      </c>
      <c r="F123">
        <v>2000</v>
      </c>
    </row>
    <row r="124" spans="1:6">
      <c r="A124" t="s">
        <v>126</v>
      </c>
      <c r="E124">
        <v>1146500</v>
      </c>
      <c r="F124">
        <v>2020</v>
      </c>
    </row>
    <row r="125" spans="1:6">
      <c r="A125" t="s">
        <v>127</v>
      </c>
      <c r="E125">
        <v>2161000</v>
      </c>
      <c r="F125">
        <v>2020</v>
      </c>
    </row>
    <row r="126" spans="1:6">
      <c r="A126" t="s">
        <v>128</v>
      </c>
      <c r="E126">
        <v>647000</v>
      </c>
      <c r="F126">
        <v>2020</v>
      </c>
    </row>
    <row r="127" spans="1:6">
      <c r="A127" t="s">
        <v>130</v>
      </c>
      <c r="C127">
        <v>4.67</v>
      </c>
      <c r="E127">
        <v>1513000</v>
      </c>
      <c r="F127">
        <v>2020</v>
      </c>
    </row>
    <row r="128" spans="1:6">
      <c r="A128" t="s">
        <v>131</v>
      </c>
      <c r="E128">
        <v>142000</v>
      </c>
      <c r="F128">
        <v>2016</v>
      </c>
    </row>
    <row r="129" spans="1:6">
      <c r="A129" t="s">
        <v>132</v>
      </c>
      <c r="E129">
        <v>66900</v>
      </c>
      <c r="F129">
        <v>2020</v>
      </c>
    </row>
    <row r="130" spans="1:6">
      <c r="A130" t="s">
        <v>133</v>
      </c>
      <c r="C130">
        <v>3.84</v>
      </c>
      <c r="E130">
        <v>3480000</v>
      </c>
      <c r="F130">
        <v>2019</v>
      </c>
    </row>
    <row r="131" spans="1:6">
      <c r="A131" t="s">
        <v>134</v>
      </c>
      <c r="C131">
        <v>5.05</v>
      </c>
      <c r="E131">
        <v>3882000</v>
      </c>
      <c r="F131">
        <v>2020</v>
      </c>
    </row>
    <row r="132" spans="1:6">
      <c r="A132" t="s">
        <v>135</v>
      </c>
      <c r="E132">
        <v>197000</v>
      </c>
      <c r="F132">
        <v>2020</v>
      </c>
    </row>
    <row r="133" spans="1:6">
      <c r="A133" t="s">
        <v>136</v>
      </c>
      <c r="C133">
        <v>4.05</v>
      </c>
      <c r="E133">
        <v>582000</v>
      </c>
      <c r="F133">
        <v>2020</v>
      </c>
    </row>
    <row r="134" spans="1:6">
      <c r="A134" t="s">
        <v>137</v>
      </c>
      <c r="E134">
        <v>29000</v>
      </c>
      <c r="F134">
        <v>2020</v>
      </c>
    </row>
    <row r="135" spans="1:6">
      <c r="A135" t="s">
        <v>138</v>
      </c>
      <c r="E135">
        <v>187100</v>
      </c>
      <c r="F135">
        <v>2020</v>
      </c>
    </row>
    <row r="136" spans="1:6">
      <c r="A136" t="s">
        <v>139</v>
      </c>
      <c r="E136">
        <v>375000</v>
      </c>
      <c r="F136">
        <v>2020</v>
      </c>
    </row>
    <row r="137" spans="1:6">
      <c r="A137" t="s">
        <v>140</v>
      </c>
      <c r="E137">
        <v>2284000</v>
      </c>
      <c r="F137">
        <v>2020</v>
      </c>
    </row>
    <row r="138" spans="1:6">
      <c r="A138" t="s">
        <v>141</v>
      </c>
      <c r="E138">
        <v>1329700</v>
      </c>
      <c r="F138">
        <v>2020</v>
      </c>
    </row>
    <row r="139" spans="1:6">
      <c r="A139" t="s">
        <v>143</v>
      </c>
      <c r="E139">
        <v>246000</v>
      </c>
      <c r="F139">
        <v>2020</v>
      </c>
    </row>
    <row r="140" spans="1:6">
      <c r="A140" t="s">
        <v>144</v>
      </c>
      <c r="E140">
        <v>526000</v>
      </c>
      <c r="F140">
        <v>2005</v>
      </c>
    </row>
    <row r="141" spans="1:6">
      <c r="A141" t="s">
        <v>145</v>
      </c>
      <c r="E141">
        <v>1830000</v>
      </c>
      <c r="F141">
        <v>2018</v>
      </c>
    </row>
    <row r="142" spans="1:6">
      <c r="A142" t="s">
        <v>146</v>
      </c>
      <c r="E142">
        <v>1142000</v>
      </c>
      <c r="F142">
        <v>2019</v>
      </c>
    </row>
    <row r="143" spans="1:6">
      <c r="A143" t="s">
        <v>147</v>
      </c>
      <c r="E143">
        <v>52400</v>
      </c>
      <c r="F143">
        <v>2019</v>
      </c>
    </row>
    <row r="144" spans="1:6">
      <c r="A144" t="s">
        <v>148</v>
      </c>
      <c r="E144">
        <v>1216000</v>
      </c>
      <c r="F144">
        <v>2020</v>
      </c>
    </row>
    <row r="145" spans="1:6">
      <c r="A145" t="s">
        <v>149</v>
      </c>
      <c r="E145">
        <v>3204000</v>
      </c>
      <c r="F145">
        <v>2020</v>
      </c>
    </row>
    <row r="146" spans="1:6">
      <c r="A146" t="s">
        <v>150</v>
      </c>
      <c r="E146">
        <v>118000</v>
      </c>
      <c r="F146">
        <v>2020</v>
      </c>
    </row>
    <row r="147" spans="1:6">
      <c r="A147" t="s">
        <v>151</v>
      </c>
      <c r="E147">
        <v>1909000</v>
      </c>
      <c r="F147">
        <v>2020</v>
      </c>
    </row>
    <row r="148" spans="1:6">
      <c r="A148" t="s">
        <v>152</v>
      </c>
      <c r="E148">
        <v>141000</v>
      </c>
      <c r="F148">
        <v>2020</v>
      </c>
    </row>
    <row r="149" spans="1:6">
      <c r="A149" t="s">
        <v>153</v>
      </c>
      <c r="E149">
        <v>74800</v>
      </c>
      <c r="F149">
        <v>2019</v>
      </c>
    </row>
    <row r="150" spans="1:6">
      <c r="A150" t="s">
        <v>154</v>
      </c>
      <c r="E150">
        <v>1695000</v>
      </c>
      <c r="F150">
        <v>2020</v>
      </c>
    </row>
    <row r="151" spans="1:6">
      <c r="A151" t="s">
        <v>155</v>
      </c>
      <c r="C151">
        <v>3.85</v>
      </c>
      <c r="E151">
        <v>4117000</v>
      </c>
      <c r="F151">
        <v>2019</v>
      </c>
    </row>
    <row r="152" spans="1:6">
      <c r="A152" t="s">
        <v>156</v>
      </c>
      <c r="E152">
        <v>316000</v>
      </c>
      <c r="F152">
        <v>2020</v>
      </c>
    </row>
    <row r="153" spans="1:6">
      <c r="A153" t="s">
        <v>157</v>
      </c>
      <c r="E153">
        <v>345300</v>
      </c>
      <c r="F153">
        <v>2020</v>
      </c>
    </row>
    <row r="154" spans="1:6">
      <c r="A154" t="s">
        <v>158</v>
      </c>
      <c r="E154">
        <v>63000</v>
      </c>
      <c r="F154">
        <v>2013</v>
      </c>
    </row>
    <row r="155" spans="1:6">
      <c r="A155" t="s">
        <v>159</v>
      </c>
      <c r="E155">
        <v>168000</v>
      </c>
      <c r="F155">
        <v>2020</v>
      </c>
    </row>
    <row r="156" spans="1:6">
      <c r="A156" t="s">
        <v>160</v>
      </c>
      <c r="E156">
        <v>7000</v>
      </c>
      <c r="F156">
        <v>2020</v>
      </c>
    </row>
    <row r="157" spans="1:6">
      <c r="A157" t="s">
        <v>161</v>
      </c>
      <c r="E157">
        <v>86400</v>
      </c>
      <c r="F157">
        <v>2020</v>
      </c>
    </row>
    <row r="158" spans="1:6">
      <c r="A158" t="s">
        <v>162</v>
      </c>
      <c r="E158">
        <v>4400</v>
      </c>
      <c r="F158">
        <v>2020</v>
      </c>
    </row>
    <row r="159" spans="1:6">
      <c r="A159" t="s">
        <v>163</v>
      </c>
      <c r="E159">
        <v>29800</v>
      </c>
      <c r="F159">
        <v>2020</v>
      </c>
    </row>
    <row r="160" spans="1:6">
      <c r="A160" t="s">
        <v>164</v>
      </c>
      <c r="C160">
        <v>14.23</v>
      </c>
      <c r="E160">
        <v>5897000</v>
      </c>
      <c r="F160">
        <v>2020</v>
      </c>
    </row>
    <row r="161" spans="1:6">
      <c r="A161" t="s">
        <v>165</v>
      </c>
      <c r="E161">
        <v>525000</v>
      </c>
      <c r="F161">
        <v>2020</v>
      </c>
    </row>
    <row r="162" spans="1:6">
      <c r="A162" t="s">
        <v>166</v>
      </c>
      <c r="E162">
        <v>351000</v>
      </c>
      <c r="F162">
        <v>2020</v>
      </c>
    </row>
    <row r="163" spans="1:6">
      <c r="A163" t="s">
        <v>167</v>
      </c>
      <c r="E163">
        <v>279000</v>
      </c>
      <c r="F163">
        <v>2017</v>
      </c>
    </row>
    <row r="164" spans="1:6">
      <c r="A164" t="s">
        <v>168</v>
      </c>
      <c r="E164">
        <v>718000</v>
      </c>
      <c r="F164">
        <v>2020</v>
      </c>
    </row>
    <row r="165" spans="1:6">
      <c r="A165" t="s">
        <v>169</v>
      </c>
      <c r="E165">
        <v>555000</v>
      </c>
      <c r="F165">
        <v>2020</v>
      </c>
    </row>
    <row r="166" spans="1:6">
      <c r="A166" t="s">
        <v>170</v>
      </c>
      <c r="E166">
        <v>180000</v>
      </c>
      <c r="F166">
        <v>2020</v>
      </c>
    </row>
    <row r="167" spans="1:6">
      <c r="A167" t="s">
        <v>171</v>
      </c>
      <c r="E167">
        <v>1071000</v>
      </c>
      <c r="F167">
        <v>2020</v>
      </c>
    </row>
    <row r="168" spans="1:6">
      <c r="A168" t="s">
        <v>172</v>
      </c>
      <c r="E168">
        <v>487000</v>
      </c>
      <c r="F168">
        <v>2020</v>
      </c>
    </row>
    <row r="169" spans="1:6">
      <c r="A169" t="s">
        <v>173</v>
      </c>
      <c r="C169">
        <v>5.56</v>
      </c>
      <c r="E169">
        <v>1794500</v>
      </c>
      <c r="F169">
        <v>2020</v>
      </c>
    </row>
    <row r="170" spans="1:6">
      <c r="A170" t="s">
        <v>174</v>
      </c>
      <c r="E170">
        <v>488000</v>
      </c>
      <c r="F170">
        <v>2020</v>
      </c>
    </row>
    <row r="171" spans="1:6">
      <c r="A171" t="s">
        <v>175</v>
      </c>
      <c r="E171">
        <v>82400</v>
      </c>
      <c r="F171">
        <v>2020</v>
      </c>
    </row>
    <row r="172" spans="1:6">
      <c r="A172" t="s">
        <v>176</v>
      </c>
      <c r="E172">
        <v>31000</v>
      </c>
      <c r="F172">
        <v>2020</v>
      </c>
    </row>
    <row r="173" spans="1:6">
      <c r="A173" t="s">
        <v>177</v>
      </c>
      <c r="E173">
        <v>966000</v>
      </c>
      <c r="F173">
        <v>2019</v>
      </c>
    </row>
    <row r="174" spans="1:6">
      <c r="A174" t="s">
        <v>178</v>
      </c>
      <c r="E174">
        <v>89400</v>
      </c>
      <c r="F174">
        <v>2020</v>
      </c>
    </row>
    <row r="175" spans="1:6">
      <c r="A175" t="s">
        <v>179</v>
      </c>
      <c r="E175">
        <v>33400</v>
      </c>
      <c r="F175">
        <v>2018</v>
      </c>
    </row>
    <row r="176" spans="1:6">
      <c r="A176" t="s">
        <v>180</v>
      </c>
      <c r="E176">
        <v>23900</v>
      </c>
      <c r="F176">
        <v>2020</v>
      </c>
    </row>
    <row r="177" spans="1:6">
      <c r="A177" t="s">
        <v>181</v>
      </c>
      <c r="E177">
        <v>1293000</v>
      </c>
      <c r="F177">
        <v>2019</v>
      </c>
    </row>
    <row r="178" spans="1:6">
      <c r="A178" t="s">
        <v>182</v>
      </c>
      <c r="E178">
        <v>432500</v>
      </c>
      <c r="F178">
        <v>2020</v>
      </c>
    </row>
    <row r="179" spans="1:6">
      <c r="A179" t="s">
        <v>183</v>
      </c>
      <c r="E179">
        <v>328000</v>
      </c>
      <c r="F179">
        <v>2020</v>
      </c>
    </row>
    <row r="180" spans="1:6">
      <c r="A180" t="s">
        <v>184</v>
      </c>
      <c r="E180">
        <v>12000</v>
      </c>
      <c r="F180">
        <v>2019</v>
      </c>
    </row>
    <row r="181" spans="1:6">
      <c r="A181" t="s">
        <v>185</v>
      </c>
      <c r="E181">
        <v>124500</v>
      </c>
      <c r="F181">
        <v>2020</v>
      </c>
    </row>
    <row r="182" spans="1:6">
      <c r="A182" t="s">
        <v>186</v>
      </c>
      <c r="E182">
        <v>217000</v>
      </c>
      <c r="F182">
        <v>2020</v>
      </c>
    </row>
    <row r="183" spans="1:6">
      <c r="A183" t="s">
        <v>187</v>
      </c>
      <c r="E183">
        <v>18000</v>
      </c>
      <c r="F183">
        <v>2019</v>
      </c>
    </row>
    <row r="184" spans="1:6">
      <c r="A184" t="s">
        <v>188</v>
      </c>
      <c r="E184">
        <v>1951000</v>
      </c>
      <c r="F184">
        <v>2019</v>
      </c>
    </row>
    <row r="185" spans="1:6">
      <c r="A185" t="s">
        <v>189</v>
      </c>
      <c r="E185">
        <v>94000</v>
      </c>
      <c r="F185">
        <v>2019</v>
      </c>
    </row>
    <row r="186" spans="1:6">
      <c r="A186" t="s">
        <v>190</v>
      </c>
      <c r="E186">
        <v>392000</v>
      </c>
      <c r="F186">
        <v>2019</v>
      </c>
    </row>
    <row r="187" spans="1:6">
      <c r="A187" t="s">
        <v>191</v>
      </c>
      <c r="E187">
        <v>384500</v>
      </c>
      <c r="F187">
        <v>2020</v>
      </c>
    </row>
    <row r="188" spans="1:6">
      <c r="A188" t="s">
        <v>192</v>
      </c>
      <c r="E188">
        <v>8612000</v>
      </c>
      <c r="F188">
        <v>2020</v>
      </c>
    </row>
    <row r="189" spans="1:6">
      <c r="A189" t="s">
        <v>193</v>
      </c>
      <c r="C189">
        <v>4.05</v>
      </c>
      <c r="E189">
        <v>5207000</v>
      </c>
      <c r="F189">
        <v>2020</v>
      </c>
    </row>
    <row r="190" spans="1:6">
      <c r="A190" t="s">
        <v>194</v>
      </c>
      <c r="E190">
        <v>660000</v>
      </c>
      <c r="F190">
        <v>2020</v>
      </c>
    </row>
    <row r="191" spans="1:6">
      <c r="A191" t="s">
        <v>195</v>
      </c>
      <c r="E191">
        <v>140000</v>
      </c>
      <c r="F191">
        <v>2020</v>
      </c>
    </row>
    <row r="192" spans="1:6">
      <c r="A192" t="s">
        <v>196</v>
      </c>
      <c r="E192">
        <v>51400</v>
      </c>
      <c r="F192">
        <v>2020</v>
      </c>
    </row>
    <row r="193" spans="1:6">
      <c r="A193" t="s">
        <v>197</v>
      </c>
      <c r="E193">
        <v>301400</v>
      </c>
      <c r="F193">
        <v>2020</v>
      </c>
    </row>
    <row r="194" spans="1:6">
      <c r="A194" t="s">
        <v>198</v>
      </c>
      <c r="E194">
        <v>900</v>
      </c>
      <c r="F194">
        <v>2020</v>
      </c>
    </row>
    <row r="195" spans="1:6">
      <c r="A195" t="s">
        <v>199</v>
      </c>
      <c r="E195">
        <v>370400</v>
      </c>
      <c r="F195">
        <v>2020</v>
      </c>
    </row>
    <row r="196" spans="1:6">
      <c r="A196" t="s">
        <v>200</v>
      </c>
      <c r="E196">
        <v>487000</v>
      </c>
      <c r="F196">
        <v>2019</v>
      </c>
    </row>
    <row r="197" spans="1:6">
      <c r="A197" t="s">
        <v>201</v>
      </c>
      <c r="E197">
        <v>1952000</v>
      </c>
      <c r="F197">
        <v>2019</v>
      </c>
    </row>
    <row r="198" spans="1:6">
      <c r="A198" t="s">
        <v>202</v>
      </c>
      <c r="E198">
        <v>58400</v>
      </c>
      <c r="F198">
        <v>2020</v>
      </c>
    </row>
    <row r="199" spans="1:6">
      <c r="A199" t="s">
        <v>203</v>
      </c>
      <c r="E199">
        <v>83000</v>
      </c>
      <c r="F199">
        <v>2020</v>
      </c>
    </row>
    <row r="200" spans="1:6">
      <c r="A200" t="s">
        <v>204</v>
      </c>
      <c r="E200">
        <v>159000</v>
      </c>
      <c r="F200">
        <v>2020</v>
      </c>
    </row>
    <row r="201" spans="1:6">
      <c r="A201" t="s">
        <v>205</v>
      </c>
      <c r="E201">
        <v>6100</v>
      </c>
      <c r="F201">
        <v>2019</v>
      </c>
    </row>
    <row r="202" spans="1:6">
      <c r="A202" t="s">
        <v>206</v>
      </c>
      <c r="E202">
        <v>1904000</v>
      </c>
      <c r="F202">
        <v>2019</v>
      </c>
    </row>
    <row r="203" spans="1:6">
      <c r="A203" t="s">
        <v>207</v>
      </c>
      <c r="E203">
        <v>18400</v>
      </c>
      <c r="F203">
        <v>2020</v>
      </c>
    </row>
    <row r="204" spans="1:6">
      <c r="A204" t="s">
        <v>208</v>
      </c>
      <c r="E204">
        <v>3600</v>
      </c>
      <c r="F204">
        <v>2019</v>
      </c>
    </row>
    <row r="205" spans="1:6"/>
    <row r="206" spans="1:6"/>
    <row r="207" spans="1:6"/>
  </sheetData>
  <sortState ref="A2:F204">
    <sortCondition descending="1" ref="B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most-visited-countries-2024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2024-12-20T02:53:25Z</dcterms:created>
  <dcterms:modified xsi:type="dcterms:W3CDTF">2026-05-17T15:17:53Z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